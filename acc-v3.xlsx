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720" windowHeight="13464"/>
  </bookViews>
  <sheets>
    <sheet name="eval_multi" sheetId="1" r:id="rId1"/>
  </sheets>
  <calcPr calcId="144525"/>
</workbook>
</file>

<file path=xl/sharedStrings.xml><?xml version="1.0" encoding="utf-8"?>
<sst xmlns="http://schemas.openxmlformats.org/spreadsheetml/2006/main" count="53" uniqueCount="33">
  <si>
    <t>ari</t>
  </si>
  <si>
    <t>arifg</t>
  </si>
  <si>
    <t>mbo</t>
  </si>
  <si>
    <t>miou</t>
  </si>
  <si>
    <t>smoothsa_r-clevrtex-42</t>
  </si>
  <si>
    <t>mean</t>
  </si>
  <si>
    <t>smoothsa_r-clevrtex-43</t>
  </si>
  <si>
    <t>std</t>
  </si>
  <si>
    <t>smoothsa_r-clevrtex-44</t>
  </si>
  <si>
    <t>smoothsa_r-coco-42</t>
  </si>
  <si>
    <t>smoothsa_r-coco-43</t>
  </si>
  <si>
    <t>smoothsa_r-coco-44</t>
  </si>
  <si>
    <t>smoothsa_r-voc-42</t>
  </si>
  <si>
    <t>smoothsa_r-voc-43</t>
  </si>
  <si>
    <t>smoothsa_r-voc-44</t>
  </si>
  <si>
    <t>smoothsav_c-movi_c-42</t>
  </si>
  <si>
    <t>smoothsav_c-movi_c-43</t>
  </si>
  <si>
    <t>smoothsav_c-movi_c-44</t>
  </si>
  <si>
    <t>smoothsav_c-movi_d-42</t>
  </si>
  <si>
    <t>smoothsav_c-movi_d-43</t>
  </si>
  <si>
    <t>smoothsav_c-movi_d-44</t>
  </si>
  <si>
    <t>smoothsav_r-ytvis-42</t>
  </si>
  <si>
    <t>smoothsav_r-ytvis-43</t>
  </si>
  <si>
    <t>smoothsav_r-ytvis-44</t>
  </si>
  <si>
    <t>spot_r-clevrtex-42</t>
  </si>
  <si>
    <t>spot_r-clevrtex-43</t>
  </si>
  <si>
    <t>spot_r-clevrtex-44</t>
  </si>
  <si>
    <t>spot_r-coco-42</t>
  </si>
  <si>
    <t>spot_r-coco-43</t>
  </si>
  <si>
    <t>spot_r-coco-44</t>
  </si>
  <si>
    <t>spot_r-voc-42</t>
  </si>
  <si>
    <t>spot_r-voc-43</t>
  </si>
  <si>
    <t>spot_r-voc-44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</si>
</sst>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0.0_ "/>
    <numFmt numFmtId="177" formatCode="_ * #,##0.00_ ;_ * \-#,##0.00_ ;_ * &quot;-&quot;??_ ;_ @_ "/>
    <numFmt numFmtId="178" formatCode="_ * #,##0_ ;_ * \-#,##0_ ;_ * &quot;-&quot;_ ;_ @_ "/>
  </numFmts>
  <fonts count="20">
    <font>
      <sz val="11"/>
      <color theme="1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0000FF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7" fillId="12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1" fillId="4" borderId="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0" fillId="20" borderId="7" applyNumberFormat="0" applyFont="0" applyAlignment="0" applyProtection="0">
      <alignment vertical="center"/>
    </xf>
    <xf numFmtId="0" fontId="16" fillId="22" borderId="4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" fillId="0" borderId="2" applyNumberFormat="0" applyFill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" fillId="2" borderId="1" applyNumberFormat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8"/>
  <sheetViews>
    <sheetView tabSelected="1" zoomScaleSheetLayoutView="60" workbookViewId="0">
      <selection activeCell="Q28" sqref="Q28"/>
    </sheetView>
  </sheetViews>
  <sheetFormatPr defaultColWidth="10" defaultRowHeight="14.4"/>
  <cols>
    <col min="1" max="1" width="23.2222222222222" customWidth="1"/>
    <col min="2" max="5" width="11.7777777777778" customWidth="1"/>
    <col min="8" max="11" width="12.8888888888889"/>
    <col min="13" max="13" width="19.5555555555556" customWidth="1"/>
  </cols>
  <sheetData>
    <row r="1" spans="2:17">
      <c r="B1" t="s">
        <v>0</v>
      </c>
      <c r="C1" t="s">
        <v>1</v>
      </c>
      <c r="D1" t="s">
        <v>2</v>
      </c>
      <c r="E1" t="s">
        <v>3</v>
      </c>
      <c r="N1" t="s">
        <v>0</v>
      </c>
      <c r="O1" t="s">
        <v>1</v>
      </c>
      <c r="P1" t="s">
        <v>2</v>
      </c>
      <c r="Q1" t="s">
        <v>3</v>
      </c>
    </row>
    <row r="2" spans="1:17">
      <c r="A2" t="s">
        <v>4</v>
      </c>
      <c r="B2">
        <v>0.75983649</v>
      </c>
      <c r="C2">
        <v>0.84086931</v>
      </c>
      <c r="D2">
        <v>0.61106336</v>
      </c>
      <c r="E2">
        <v>0.59549022</v>
      </c>
      <c r="G2" t="s">
        <v>5</v>
      </c>
      <c r="H2" s="1">
        <f>AVERAGE(B2:B4)*100</f>
        <v>76.821943</v>
      </c>
      <c r="I2" s="1">
        <f>AVERAGE(C2:C4)*100</f>
        <v>82.1708976666667</v>
      </c>
      <c r="J2" s="1">
        <f>AVERAGE(D2:D4)*100</f>
        <v>60.6259263333333</v>
      </c>
      <c r="K2" s="1">
        <f>AVERAGE(E2:E4)*100</f>
        <v>58.8821073333333</v>
      </c>
      <c r="M2" t="str">
        <f>LEFT(A2,LEN(A2)-3)</f>
        <v>smoothsa_r-clevrtex</v>
      </c>
      <c r="N2" t="str">
        <f>TEXT(H2,"0.0")&amp;"±"&amp;TEXT(H3,"0.0")</f>
        <v>76.8±0.7</v>
      </c>
      <c r="O2" t="str">
        <f>TEXT(I2,"0.0")&amp;"±"&amp;TEXT(I3,"0.0")</f>
        <v>82.2±1.7</v>
      </c>
      <c r="P2" t="str">
        <f>TEXT(J2,"0.0")&amp;"±"&amp;TEXT(J3,"0.0")</f>
        <v>60.6±0.4</v>
      </c>
      <c r="Q2" t="str">
        <f>TEXT(K2,"0.0")&amp;"±"&amp;TEXT(K3,"0.0")</f>
        <v>58.9±0.6</v>
      </c>
    </row>
    <row r="3" spans="1:11">
      <c r="A3" t="s">
        <v>6</v>
      </c>
      <c r="B3">
        <v>0.77330089</v>
      </c>
      <c r="C3">
        <v>0.81740862</v>
      </c>
      <c r="D3">
        <v>0.60535651</v>
      </c>
      <c r="E3">
        <v>0.58796662</v>
      </c>
      <c r="G3" t="s">
        <v>7</v>
      </c>
      <c r="H3" s="1">
        <f>STDEV(B2:B4)*100</f>
        <v>0.731418788949261</v>
      </c>
      <c r="I3" s="1">
        <f>STDEV(C2:C4)*100</f>
        <v>1.74130747922196</v>
      </c>
      <c r="J3" s="1">
        <f>STDEV(D2:D4)*100</f>
        <v>0.44223742587024</v>
      </c>
      <c r="K3" s="1">
        <f>STDEV(E2:E4)*100</f>
        <v>0.628562909823136</v>
      </c>
    </row>
    <row r="4" spans="1:11">
      <c r="A4" t="s">
        <v>8</v>
      </c>
      <c r="B4">
        <v>0.77152091</v>
      </c>
      <c r="C4">
        <v>0.806849</v>
      </c>
      <c r="D4">
        <v>0.60235792</v>
      </c>
      <c r="E4">
        <v>0.58300638</v>
      </c>
      <c r="H4" s="1"/>
      <c r="I4" s="1"/>
      <c r="J4" s="1"/>
      <c r="K4" s="1"/>
    </row>
    <row r="5" spans="1:17">
      <c r="A5" t="s">
        <v>9</v>
      </c>
      <c r="B5">
        <v>0.30330905</v>
      </c>
      <c r="C5">
        <v>0.40099263</v>
      </c>
      <c r="D5">
        <v>0.33320829</v>
      </c>
      <c r="E5">
        <v>0.31688756</v>
      </c>
      <c r="G5" t="s">
        <v>5</v>
      </c>
      <c r="H5" s="1">
        <f>AVERAGE(B5:B7)*100</f>
        <v>29.312408</v>
      </c>
      <c r="I5" s="1">
        <f>AVERAGE(C5:C7)*100</f>
        <v>41.346239</v>
      </c>
      <c r="J5" s="1">
        <f>AVERAGE(D5:D7)*100</f>
        <v>33.3527683333333</v>
      </c>
      <c r="K5" s="1">
        <f>AVERAGE(E5:E7)*100</f>
        <v>31.8331916666667</v>
      </c>
      <c r="M5" t="str">
        <f>LEFT(A5,LEN(A5)-3)</f>
        <v>smoothsa_r-coco</v>
      </c>
      <c r="N5" t="str">
        <f>TEXT(H5,"0.0")&amp;"±"&amp;TEXT(H6,"0.0")</f>
        <v>29.3±1.0</v>
      </c>
      <c r="O5" t="str">
        <f>TEXT(I5,"0.0")&amp;"±"&amp;TEXT(I6,"0.0")</f>
        <v>41.3±1.2</v>
      </c>
      <c r="P5" t="str">
        <f>TEXT(J5,"0.0")&amp;"±"&amp;TEXT(J6,"0.0")</f>
        <v>33.4±0.2</v>
      </c>
      <c r="Q5" t="str">
        <f>TEXT(K5,"0.0")&amp;"±"&amp;TEXT(K6,"0.0")</f>
        <v>31.8±0.2</v>
      </c>
    </row>
    <row r="6" spans="1:11">
      <c r="A6" t="s">
        <v>10</v>
      </c>
      <c r="B6">
        <v>0.2927475</v>
      </c>
      <c r="C6">
        <v>0.42519352</v>
      </c>
      <c r="D6">
        <v>0.33573839</v>
      </c>
      <c r="E6">
        <v>0.3209804</v>
      </c>
      <c r="G6" t="s">
        <v>7</v>
      </c>
      <c r="H6" s="1">
        <f>STDEV(B5:B7)*100</f>
        <v>1.00019983200709</v>
      </c>
      <c r="I6" s="1">
        <f>STDEV(C5:C7)*100</f>
        <v>1.21173408760214</v>
      </c>
      <c r="J6" s="1">
        <f>STDEV(D5:D7)*100</f>
        <v>0.206957751633837</v>
      </c>
      <c r="K6" s="1">
        <f>STDEV(E5:E7)*100</f>
        <v>0.229679681043694</v>
      </c>
    </row>
    <row r="7" spans="1:11">
      <c r="A7" t="s">
        <v>11</v>
      </c>
      <c r="B7">
        <v>0.28331569</v>
      </c>
      <c r="C7">
        <v>0.41420102</v>
      </c>
      <c r="D7">
        <v>0.33163637</v>
      </c>
      <c r="E7">
        <v>0.31712779</v>
      </c>
      <c r="H7" s="1"/>
      <c r="I7" s="1"/>
      <c r="J7" s="1"/>
      <c r="K7" s="1"/>
    </row>
    <row r="8" spans="1:17">
      <c r="A8" t="s">
        <v>12</v>
      </c>
      <c r="B8">
        <v>0.34361336</v>
      </c>
      <c r="C8">
        <v>0.33341849</v>
      </c>
      <c r="D8">
        <v>0.45447776</v>
      </c>
      <c r="E8">
        <v>0.44119799</v>
      </c>
      <c r="G8" t="s">
        <v>5</v>
      </c>
      <c r="H8" s="1">
        <f>AVERAGE(B8:B10)*100</f>
        <v>34.9683743333333</v>
      </c>
      <c r="I8" s="1">
        <f>AVERAGE(C8:C10)*100</f>
        <v>33.6365816666667</v>
      </c>
      <c r="J8" s="1">
        <f>AVERAGE(D8:D10)*100</f>
        <v>45.2465386666667</v>
      </c>
      <c r="K8" s="1">
        <f>AVERAGE(E8:E10)*100</f>
        <v>43.948244</v>
      </c>
      <c r="M8" t="str">
        <f>LEFT(A8,LEN(A8)-3)</f>
        <v>smoothsa_r-voc</v>
      </c>
      <c r="N8" t="str">
        <f>TEXT(H8,"0.0")&amp;"±"&amp;TEXT(H9,"0.0")</f>
        <v>35.0±0.5</v>
      </c>
      <c r="O8" t="str">
        <f>TEXT(I8,"0.0")&amp;"±"&amp;TEXT(I9,"0.0")</f>
        <v>33.6±1.2</v>
      </c>
      <c r="P8" t="str">
        <f>TEXT(J8,"0.0")&amp;"±"&amp;TEXT(J9,"0.0")</f>
        <v>45.2±0.3</v>
      </c>
      <c r="Q8" t="str">
        <f>TEXT(K8,"0.0")&amp;"±"&amp;TEXT(K9,"0.0")</f>
        <v>43.9±0.3</v>
      </c>
    </row>
    <row r="9" spans="1:11">
      <c r="A9" t="s">
        <v>13</v>
      </c>
      <c r="B9">
        <v>0.35397071</v>
      </c>
      <c r="C9">
        <v>0.35006037</v>
      </c>
      <c r="D9">
        <v>0.45345354</v>
      </c>
      <c r="E9">
        <v>0.44119719</v>
      </c>
      <c r="G9" t="s">
        <v>7</v>
      </c>
      <c r="H9" s="1">
        <f>STDEV(B8:B10)*100</f>
        <v>0.540408234678503</v>
      </c>
      <c r="I9" s="1">
        <f>STDEV(C8:C10)*100</f>
        <v>1.24845986420122</v>
      </c>
      <c r="J9" s="1">
        <f>STDEV(D8:D10)*100</f>
        <v>0.264851408531903</v>
      </c>
      <c r="K9" s="1">
        <f>STDEV(E8:E10)*100</f>
        <v>0.297072696953121</v>
      </c>
    </row>
    <row r="10" spans="1:11">
      <c r="A10" t="s">
        <v>14</v>
      </c>
      <c r="B10">
        <v>0.35146716</v>
      </c>
      <c r="C10">
        <v>0.32561859</v>
      </c>
      <c r="D10">
        <v>0.44946486</v>
      </c>
      <c r="E10">
        <v>0.43605214</v>
      </c>
      <c r="H10" s="1"/>
      <c r="I10" s="1"/>
      <c r="J10" s="1"/>
      <c r="K10" s="1"/>
    </row>
    <row r="11" spans="1:17">
      <c r="A11" t="s">
        <v>15</v>
      </c>
      <c r="B11">
        <v>0.49211317</v>
      </c>
      <c r="C11">
        <v>0.68760204</v>
      </c>
      <c r="D11">
        <v>0.30793315</v>
      </c>
      <c r="E11">
        <v>0.29338789</v>
      </c>
      <c r="G11" t="s">
        <v>5</v>
      </c>
      <c r="H11" s="1">
        <f>AVERAGE(B11:B13)*100</f>
        <v>50.916928</v>
      </c>
      <c r="I11" s="1">
        <f>AVERAGE(C11:C13)*100</f>
        <v>68.9849036666667</v>
      </c>
      <c r="J11" s="1">
        <f>AVERAGE(D11:D13)*100</f>
        <v>31.7011643333333</v>
      </c>
      <c r="K11" s="1">
        <f>AVERAGE(E11:E13)*100</f>
        <v>30.2437336666667</v>
      </c>
      <c r="M11" t="str">
        <f>LEFT(A11,LEN(A11)-3)</f>
        <v>smoothsav_c-movi_c</v>
      </c>
      <c r="N11" t="str">
        <f>TEXT(H11,"0.0")&amp;"±"&amp;TEXT(H12,"0.0")</f>
        <v>50.9±1.6</v>
      </c>
      <c r="O11" t="str">
        <f>TEXT(I11,"0.0")&amp;"±"&amp;TEXT(I12,"0.0")</f>
        <v>69.0±0.3</v>
      </c>
      <c r="P11" t="str">
        <f>TEXT(J11,"0.0")&amp;"±"&amp;TEXT(J12,"0.0")</f>
        <v>31.7±0.8</v>
      </c>
      <c r="Q11" t="str">
        <f>TEXT(K11,"0.0")&amp;"±"&amp;TEXT(K12,"0.0")</f>
        <v>30.2±0.8</v>
      </c>
    </row>
    <row r="12" spans="1:11">
      <c r="A12" t="s">
        <v>16</v>
      </c>
      <c r="B12">
        <v>0.51283062</v>
      </c>
      <c r="C12">
        <v>0.69277453</v>
      </c>
      <c r="D12">
        <v>0.32110941</v>
      </c>
      <c r="E12">
        <v>0.30591801</v>
      </c>
      <c r="G12" t="s">
        <v>7</v>
      </c>
      <c r="H12" s="1">
        <f>STDEV(B11:B13)*100</f>
        <v>1.55521085753765</v>
      </c>
      <c r="I12" s="1">
        <f>STDEV(C11:C13)*100</f>
        <v>0.265215600880364</v>
      </c>
      <c r="J12" s="1">
        <f>STDEV(D11:D13)*100</f>
        <v>0.787459113179431</v>
      </c>
      <c r="K12" s="1">
        <f>STDEV(E11:E13)*100</f>
        <v>0.790628889758865</v>
      </c>
    </row>
    <row r="13" spans="1:11">
      <c r="A13" t="s">
        <v>17</v>
      </c>
      <c r="B13">
        <v>0.52256405</v>
      </c>
      <c r="C13">
        <v>0.68917054</v>
      </c>
      <c r="D13">
        <v>0.32199237</v>
      </c>
      <c r="E13">
        <v>0.30800611</v>
      </c>
      <c r="H13" s="1"/>
      <c r="I13" s="1"/>
      <c r="J13" s="1"/>
      <c r="K13" s="1"/>
    </row>
    <row r="14" spans="1:17">
      <c r="A14" t="s">
        <v>18</v>
      </c>
      <c r="B14">
        <v>0.43139055</v>
      </c>
      <c r="C14">
        <v>0.70145941</v>
      </c>
      <c r="D14">
        <v>0.31013629</v>
      </c>
      <c r="E14">
        <v>0.29807502</v>
      </c>
      <c r="G14" t="s">
        <v>5</v>
      </c>
      <c r="H14" s="1">
        <f>AVERAGE(B14:B16)*100</f>
        <v>43.8128976666667</v>
      </c>
      <c r="I14" s="1">
        <f>AVERAGE(C14:C16)*100</f>
        <v>70.4663653333333</v>
      </c>
      <c r="J14" s="1">
        <f>AVERAGE(D14:D16)*100</f>
        <v>31.3880553333333</v>
      </c>
      <c r="K14" s="1">
        <f>AVERAGE(E14:E16)*100</f>
        <v>30.1694773333333</v>
      </c>
      <c r="M14" t="str">
        <f>LEFT(A14,LEN(A14)-3)</f>
        <v>smoothsav_c-movi_d</v>
      </c>
      <c r="N14" t="str">
        <f>TEXT(H14,"0.0")&amp;"±"&amp;TEXT(H15,"0.0")</f>
        <v>43.8±1.5</v>
      </c>
      <c r="O14" t="str">
        <f>TEXT(I14,"0.0")&amp;"±"&amp;TEXT(I15,"0.0")</f>
        <v>70.5±0.7</v>
      </c>
      <c r="P14" t="str">
        <f>TEXT(J14,"0.0")&amp;"±"&amp;TEXT(J15,"0.0")</f>
        <v>31.4±0.4</v>
      </c>
      <c r="Q14" t="str">
        <f>TEXT(K14,"0.0")&amp;"±"&amp;TEXT(K15,"0.0")</f>
        <v>30.2±0.4</v>
      </c>
    </row>
    <row r="15" spans="1:11">
      <c r="A15" t="s">
        <v>19</v>
      </c>
      <c r="B15">
        <v>0.45548847</v>
      </c>
      <c r="C15">
        <v>0.6999011</v>
      </c>
      <c r="D15">
        <v>0.31867987</v>
      </c>
      <c r="E15">
        <v>0.30642337</v>
      </c>
      <c r="G15" t="s">
        <v>7</v>
      </c>
      <c r="H15" s="1">
        <f>STDEV(B14:B16)*100</f>
        <v>1.51585860137063</v>
      </c>
      <c r="I15" s="1">
        <f>STDEV(C14:C16)*100</f>
        <v>0.694330392248771</v>
      </c>
      <c r="J15" s="1">
        <f>STDEV(D14:D16)*100</f>
        <v>0.43684142381685</v>
      </c>
      <c r="K15" s="1">
        <f>STDEV(E14:E16)*100</f>
        <v>0.428320990426959</v>
      </c>
    </row>
    <row r="16" spans="1:11">
      <c r="A16" t="s">
        <v>20</v>
      </c>
      <c r="B16">
        <v>0.42750791</v>
      </c>
      <c r="C16">
        <v>0.71263045</v>
      </c>
      <c r="D16">
        <v>0.3128255</v>
      </c>
      <c r="E16">
        <v>0.30058593</v>
      </c>
      <c r="H16" s="1"/>
      <c r="I16" s="1"/>
      <c r="J16" s="1"/>
      <c r="K16" s="1"/>
    </row>
    <row r="17" spans="1:17">
      <c r="A17" t="s">
        <v>21</v>
      </c>
      <c r="B17">
        <v>0.42429247</v>
      </c>
      <c r="C17">
        <v>0.66869766</v>
      </c>
      <c r="D17">
        <v>0.39203981</v>
      </c>
      <c r="E17">
        <v>0.38530099</v>
      </c>
      <c r="G17" t="s">
        <v>5</v>
      </c>
      <c r="H17" s="1">
        <f>AVERAGE(B17:B19)*100</f>
        <v>42.415588</v>
      </c>
      <c r="I17" s="1">
        <f>AVERAGE(C17:C19)*100</f>
        <v>62.951879</v>
      </c>
      <c r="J17" s="1">
        <f>AVERAGE(D17:D19)*100</f>
        <v>38.928371</v>
      </c>
      <c r="K17" s="1">
        <f>AVERAGE(E17:E19)*100</f>
        <v>38.3045513333333</v>
      </c>
      <c r="M17" t="str">
        <f>LEFT(A17,LEN(A17)-3)</f>
        <v>smoothsav_r-ytvis</v>
      </c>
      <c r="N17" t="str">
        <f>TEXT(H17,"0.0")&amp;"±"&amp;TEXT(H18,"0.0")</f>
        <v>42.4±0.8</v>
      </c>
      <c r="O17" t="str">
        <f>TEXT(I17,"0.0")&amp;"±"&amp;TEXT(I18,"0.0")</f>
        <v>63.0±3.4</v>
      </c>
      <c r="P17" t="str">
        <f>TEXT(J17,"0.0")&amp;"±"&amp;TEXT(J18,"0.0")</f>
        <v>38.9±0.7</v>
      </c>
      <c r="Q17" t="str">
        <f>TEXT(K17,"0.0")&amp;"±"&amp;TEXT(K18,"0.0")</f>
        <v>38.3±0.6</v>
      </c>
    </row>
    <row r="18" spans="1:11">
      <c r="A18" t="s">
        <v>22</v>
      </c>
      <c r="B18">
        <v>0.43164173</v>
      </c>
      <c r="C18">
        <v>0.61339009</v>
      </c>
      <c r="D18">
        <v>0.3940568</v>
      </c>
      <c r="E18">
        <v>0.38783276</v>
      </c>
      <c r="G18" t="s">
        <v>7</v>
      </c>
      <c r="H18" s="1">
        <f>STDEV(B17:B19)*100</f>
        <v>0.755507109841464</v>
      </c>
      <c r="I18" s="1">
        <f>STDEV(C17:C19)*100</f>
        <v>3.41059317069318</v>
      </c>
      <c r="J18" s="1">
        <f>STDEV(D17:D19)*100</f>
        <v>0.659799884109568</v>
      </c>
      <c r="K18" s="1">
        <f>STDEV(E17:E19)*100</f>
        <v>0.622915955772795</v>
      </c>
    </row>
    <row r="19" spans="1:11">
      <c r="A19" t="s">
        <v>23</v>
      </c>
      <c r="B19">
        <v>0.41653344</v>
      </c>
      <c r="C19">
        <v>0.60646862</v>
      </c>
      <c r="D19">
        <v>0.38175452</v>
      </c>
      <c r="E19">
        <v>0.37600279</v>
      </c>
      <c r="H19" s="1"/>
      <c r="I19" s="1"/>
      <c r="J19" s="1"/>
      <c r="K19" s="1"/>
    </row>
    <row r="20" spans="1:17">
      <c r="A20" t="s">
        <v>24</v>
      </c>
      <c r="B20">
        <v>0.26642394</v>
      </c>
      <c r="C20">
        <v>0.76499128</v>
      </c>
      <c r="D20">
        <v>0.47999796</v>
      </c>
      <c r="E20">
        <v>0.46146953</v>
      </c>
      <c r="G20" t="s">
        <v>5</v>
      </c>
      <c r="H20" s="1">
        <f>AVERAGE(B20:B22)*100</f>
        <v>25.6436456666667</v>
      </c>
      <c r="I20" s="1">
        <f>AVERAGE(C20:C22)*100</f>
        <v>77.0772296666667</v>
      </c>
      <c r="J20" s="1">
        <f>AVERAGE(D20:D22)*100</f>
        <v>48.2480823333333</v>
      </c>
      <c r="K20" s="1">
        <f>AVERAGE(E20:E22)*100</f>
        <v>46.315068</v>
      </c>
      <c r="M20" t="str">
        <f>LEFT(A20,LEN(A20)-3)</f>
        <v>spot_r-clevrtex</v>
      </c>
      <c r="N20" t="str">
        <f>TEXT(H20,"0.0")&amp;"±"&amp;TEXT(H21,"0.0")</f>
        <v>25.6±1.4</v>
      </c>
      <c r="O20" t="str">
        <f>TEXT(I20,"0.0")&amp;"±"&amp;TEXT(I21,"0.0")</f>
        <v>77.1±0.5</v>
      </c>
      <c r="P20" t="str">
        <f>TEXT(J20,"0.0")&amp;"±"&amp;TEXT(J21,"0.0")</f>
        <v>48.2±0.6</v>
      </c>
      <c r="Q20" t="str">
        <f>TEXT(K20,"0.0")&amp;"±"&amp;TEXT(K21,"0.0")</f>
        <v>46.3±0.7</v>
      </c>
    </row>
    <row r="21" spans="1:11">
      <c r="A21" t="s">
        <v>25</v>
      </c>
      <c r="B21">
        <v>0.26207706</v>
      </c>
      <c r="C21">
        <v>0.77244484</v>
      </c>
      <c r="D21">
        <v>0.48921779</v>
      </c>
      <c r="E21">
        <v>0.47103119</v>
      </c>
      <c r="G21" t="s">
        <v>7</v>
      </c>
      <c r="H21" s="1">
        <f>STDEV(B20:B22)*100</f>
        <v>1.37077226802716</v>
      </c>
      <c r="I21" s="1">
        <f>STDEV(C20:C22)*100</f>
        <v>0.515252889525455</v>
      </c>
      <c r="J21" s="1">
        <f>STDEV(D20:D22)*100</f>
        <v>0.590121705118811</v>
      </c>
      <c r="K21" s="1">
        <f>STDEV(E20:E22)*100</f>
        <v>0.718890699592782</v>
      </c>
    </row>
    <row r="22" spans="1:11">
      <c r="A22" t="s">
        <v>26</v>
      </c>
      <c r="B22">
        <v>0.24080837</v>
      </c>
      <c r="C22">
        <v>0.77488077</v>
      </c>
      <c r="D22">
        <v>0.47822672</v>
      </c>
      <c r="E22">
        <v>0.45695132</v>
      </c>
      <c r="H22" s="1"/>
      <c r="I22" s="1"/>
      <c r="J22" s="1"/>
      <c r="K22" s="1"/>
    </row>
    <row r="23" spans="1:17">
      <c r="A23" t="s">
        <v>27</v>
      </c>
      <c r="B23">
        <v>0.24065737</v>
      </c>
      <c r="C23">
        <v>0.39945561</v>
      </c>
      <c r="D23">
        <v>0.30939293</v>
      </c>
      <c r="E23">
        <v>0.29362819</v>
      </c>
      <c r="G23" t="s">
        <v>5</v>
      </c>
      <c r="H23" s="1">
        <f>AVERAGE(B23:B25)*100</f>
        <v>23.7360023333333</v>
      </c>
      <c r="I23" s="1">
        <f>AVERAGE(C23:C25)*100</f>
        <v>40.4127886666667</v>
      </c>
      <c r="J23" s="1">
        <f>AVERAGE(D23:D25)*100</f>
        <v>30.8664153333333</v>
      </c>
      <c r="K23" s="1">
        <f>AVERAGE(E23:E25)*100</f>
        <v>29.3000103333333</v>
      </c>
      <c r="M23" t="str">
        <f>LEFT(A23,LEN(A23)-3)</f>
        <v>spot_r-coco</v>
      </c>
      <c r="N23" t="str">
        <f>TEXT(H23,"0.0")&amp;"±"&amp;TEXT(H24,"0.0")</f>
        <v>23.7±0.5</v>
      </c>
      <c r="O23" t="str">
        <f>TEXT(I23,"0.0")&amp;"±"&amp;TEXT(I24,"0.0")</f>
        <v>40.4±0.5</v>
      </c>
      <c r="P23" t="str">
        <f>TEXT(J23,"0.0")&amp;"±"&amp;TEXT(J24,"0.0")</f>
        <v>30.9±0.2</v>
      </c>
      <c r="Q23" t="str">
        <f>TEXT(K23,"0.0")&amp;"±"&amp;TEXT(K24,"0.0")</f>
        <v>29.3±0.2</v>
      </c>
    </row>
    <row r="24" spans="1:11">
      <c r="A24" t="s">
        <v>28</v>
      </c>
      <c r="B24">
        <v>0.23927119</v>
      </c>
      <c r="C24">
        <v>0.40987232</v>
      </c>
      <c r="D24">
        <v>0.31028524</v>
      </c>
      <c r="E24">
        <v>0.29463366</v>
      </c>
      <c r="G24" t="s">
        <v>7</v>
      </c>
      <c r="H24" s="1">
        <f>STDEV(B23:B25)*100</f>
        <v>0.456364241650607</v>
      </c>
      <c r="I24" s="1">
        <f>STDEV(C23:C25)*100</f>
        <v>0.529047273354975</v>
      </c>
      <c r="J24" s="1">
        <f>STDEV(D23:D25)*100</f>
        <v>0.208337407779626</v>
      </c>
      <c r="K24" s="1">
        <f>STDEV(E23:E25)*100</f>
        <v>0.202213140167335</v>
      </c>
    </row>
    <row r="25" spans="1:11">
      <c r="A25" t="s">
        <v>29</v>
      </c>
      <c r="B25">
        <v>0.23215151</v>
      </c>
      <c r="C25">
        <v>0.40305573</v>
      </c>
      <c r="D25">
        <v>0.30631429</v>
      </c>
      <c r="E25">
        <v>0.29073846</v>
      </c>
      <c r="H25" s="1"/>
      <c r="I25" s="1"/>
      <c r="J25" s="1"/>
      <c r="K25" s="1"/>
    </row>
    <row r="26" spans="1:17">
      <c r="A26" t="s">
        <v>30</v>
      </c>
      <c r="B26">
        <v>0.24078427</v>
      </c>
      <c r="C26">
        <v>0.31962144</v>
      </c>
      <c r="D26">
        <v>0.39867422</v>
      </c>
      <c r="E26">
        <v>0.38328546</v>
      </c>
      <c r="G26" t="s">
        <v>5</v>
      </c>
      <c r="H26" s="1">
        <f>AVERAGE(B26:B28)*100</f>
        <v>24.4674303333333</v>
      </c>
      <c r="I26" s="1">
        <f>AVERAGE(C26:C28)*100</f>
        <v>31.0306746666667</v>
      </c>
      <c r="J26" s="1">
        <f>AVERAGE(D26:D28)*100</f>
        <v>40.120079</v>
      </c>
      <c r="K26" s="1">
        <f>AVERAGE(E26:E28)*100</f>
        <v>38.599775</v>
      </c>
      <c r="M26" t="str">
        <f>LEFT(A26,LEN(A26)-3)</f>
        <v>spot_r-voc</v>
      </c>
      <c r="N26" t="str">
        <f>TEXT(H26,"0.0")&amp;"±"&amp;TEXT(H27,"0.0")</f>
        <v>24.5±0.3</v>
      </c>
      <c r="O26" t="str">
        <f>TEXT(I26,"0.0")&amp;"±"&amp;TEXT(I27,"0.0")</f>
        <v>31.0±0.8</v>
      </c>
      <c r="P26" t="str">
        <f>TEXT(J26,"0.0")&amp;"±"&amp;TEXT(J27,"0.0")</f>
        <v>40.1±0.2</v>
      </c>
      <c r="Q26" t="str">
        <f>TEXT(K26,"0.0")&amp;"±"&amp;TEXT(K27,"0.0")</f>
        <v>38.6±0.3</v>
      </c>
    </row>
    <row r="27" spans="1:11">
      <c r="A27" t="s">
        <v>31</v>
      </c>
      <c r="B27">
        <v>0.24639721</v>
      </c>
      <c r="C27">
        <v>0.30706522</v>
      </c>
      <c r="D27">
        <v>0.40365809</v>
      </c>
      <c r="E27">
        <v>0.38845506</v>
      </c>
      <c r="G27" t="s">
        <v>7</v>
      </c>
      <c r="H27" s="1">
        <f>STDEV(B26:B28)*100</f>
        <v>0.337618162321481</v>
      </c>
      <c r="I27" s="1">
        <f>STDEV(C26:C28)*100</f>
        <v>0.819006594557901</v>
      </c>
      <c r="J27" s="1">
        <f>STDEV(D26:D28)*100</f>
        <v>0.249265697477611</v>
      </c>
      <c r="K27" s="1">
        <f>STDEV(E26:E28)*100</f>
        <v>0.259421512991887</v>
      </c>
    </row>
    <row r="28" spans="1:11">
      <c r="A28" t="s">
        <v>32</v>
      </c>
      <c r="B28">
        <v>0.24684143</v>
      </c>
      <c r="C28">
        <v>0.30423358</v>
      </c>
      <c r="D28">
        <v>0.40127006</v>
      </c>
      <c r="E28">
        <v>0.38625273</v>
      </c>
      <c r="H28" s="1"/>
      <c r="I28" s="1"/>
      <c r="J28" s="1"/>
      <c r="K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eval_multi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GeneralZ</cp:lastModifiedBy>
  <dcterms:created xsi:type="dcterms:W3CDTF">2026-01-06T18:08:00Z</dcterms:created>
  <dcterms:modified xsi:type="dcterms:W3CDTF">2026-01-06T16:14:34Z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