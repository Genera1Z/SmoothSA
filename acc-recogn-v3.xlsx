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464"/>
  </bookViews>
  <sheets>
    <sheet name="eval_multi" sheetId="1" r:id="rId1"/>
  </sheets>
  <calcPr calcId="144525"/>
</workbook>
</file>

<file path=xl/sharedStrings.xml><?xml version="1.0" encoding="utf-8"?>
<sst xmlns="http://schemas.openxmlformats.org/spreadsheetml/2006/main" count="23" uniqueCount="15">
  <si>
    <t>top1</t>
  </si>
  <si>
    <t>top3</t>
  </si>
  <si>
    <t>iou</t>
  </si>
  <si>
    <t>num</t>
  </si>
  <si>
    <t>smoothsa_r_recogn-coco-42</t>
  </si>
  <si>
    <t>mean</t>
  </si>
  <si>
    <t>smoothsa_r_recogn-coco-43</t>
  </si>
  <si>
    <t>std</t>
  </si>
  <si>
    <t>smoothsa_r_recogn-coco-44</t>
  </si>
  <si>
    <t>smoothsav_r_recogn-ytvis-42</t>
  </si>
  <si>
    <t>smoothsav_r_recogn-ytvis-43</t>
  </si>
  <si>
    <t>smoothsav_r_recogn-ytvis-44</t>
  </si>
  <si>
    <t>spot_r_recogn-coco-42</t>
  </si>
  <si>
    <t>spot_r_recogn-coco-43</t>
  </si>
  <si>
    <t>spot_r_recogn-coco-44</t>
  </si>
</sst>
</file>

<file path=xl/styles.xml><?xml version="1.0" encoding="utf-8"?>
<styleSheet xmlns="http://schemas.openxmlformats.org/spreadsheetml/2006/main">
  <numFmts count="5">
    <numFmt numFmtId="176" formatCode="0.0_ "/>
    <numFmt numFmtId="177" formatCode="_ * #,##0.00_ ;_ * \-#,##0.00_ ;_ * &quot;-&quot;??_ ;_ @_ "/>
    <numFmt numFmtId="42" formatCode="_(&quot;$&quot;* #,##0_);_(&quot;$&quot;* \(#,##0\);_(&quot;$&quot;* &quot;-&quot;_);_(@_)"/>
    <numFmt numFmtId="178" formatCode="_ * #,##0_ ;_ * \-#,##0_ ;_ * &quot;-&quot;_ ;_ @_ 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6" fillId="20" borderId="2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zoomScaleSheetLayoutView="60" workbookViewId="0">
      <selection activeCell="P12" sqref="P12"/>
    </sheetView>
  </sheetViews>
  <sheetFormatPr defaultColWidth="10" defaultRowHeight="14.4"/>
  <cols>
    <col min="1" max="1" width="27.7777777777778" customWidth="1"/>
    <col min="2" max="4" width="11.7777777777778" customWidth="1"/>
    <col min="5" max="5" width="5.66666666666667" customWidth="1"/>
    <col min="8" max="8" width="10.4444444444444" customWidth="1"/>
    <col min="13" max="13" width="24.1111111111111" customWidth="1"/>
  </cols>
  <sheetData>
    <row r="1" spans="2:17">
      <c r="B1" t="s">
        <v>0</v>
      </c>
      <c r="C1" t="s">
        <v>1</v>
      </c>
      <c r="D1" t="s">
        <v>2</v>
      </c>
      <c r="E1" t="s">
        <v>3</v>
      </c>
      <c r="N1" t="s">
        <v>0</v>
      </c>
      <c r="O1" t="s">
        <v>1</v>
      </c>
      <c r="P1" t="s">
        <v>2</v>
      </c>
      <c r="Q1" t="s">
        <v>3</v>
      </c>
    </row>
    <row r="2" spans="1:17">
      <c r="A2" t="s">
        <v>4</v>
      </c>
      <c r="B2">
        <v>0.81400931</v>
      </c>
      <c r="C2">
        <v>0.92770362</v>
      </c>
      <c r="D2">
        <v>0.39869374</v>
      </c>
      <c r="E2">
        <v>6667</v>
      </c>
      <c r="G2" t="s">
        <v>5</v>
      </c>
      <c r="H2" s="1">
        <f>AVERAGE(B2:B4)*100</f>
        <v>81.44809</v>
      </c>
      <c r="I2" s="1">
        <f>AVERAGE(C2:C4)*100</f>
        <v>92.8052603333333</v>
      </c>
      <c r="J2" s="1">
        <f>AVERAGE(D2:D4)*100</f>
        <v>40.0587896666667</v>
      </c>
      <c r="K2" s="1">
        <f>AVERAGE(E2:E4)</f>
        <v>6653.33333333333</v>
      </c>
      <c r="M2" t="str">
        <f>LEFT(A2,LEN(A2)-3)</f>
        <v>smoothsa_r_recogn-coco</v>
      </c>
      <c r="N2" t="str">
        <f>TEXT(H2,"0.0")&amp;"±"&amp;TEXT(H3,"0.0")</f>
        <v>81.4±0.1</v>
      </c>
      <c r="O2" t="str">
        <f>TEXT(I2,"0.0")&amp;"±"&amp;TEXT(I3,"0.0")</f>
        <v>92.8±0.2</v>
      </c>
      <c r="P2" t="str">
        <f>TEXT(J2,"0.0")&amp;"±"&amp;TEXT(J3,"0.0")</f>
        <v>40.1±0.2</v>
      </c>
      <c r="Q2" t="str">
        <f>TEXT(K2,"0")&amp;"±"&amp;TEXT(K3,"0")</f>
        <v>6653±24</v>
      </c>
    </row>
    <row r="3" spans="1:11">
      <c r="A3" t="s">
        <v>6</v>
      </c>
      <c r="B3">
        <v>0.81400931</v>
      </c>
      <c r="C3">
        <v>0.93010348</v>
      </c>
      <c r="D3">
        <v>0.40319246</v>
      </c>
      <c r="E3">
        <v>6667</v>
      </c>
      <c r="G3" t="s">
        <v>7</v>
      </c>
      <c r="H3" s="1">
        <f>STDEV(B2:B4)*100</f>
        <v>0.0816817840341412</v>
      </c>
      <c r="I3" s="1">
        <f>STDEV(C2:C4)*100</f>
        <v>0.190056904463723</v>
      </c>
      <c r="J3" s="1">
        <f>STDEV(D2:D4)*100</f>
        <v>0.233197955257614</v>
      </c>
      <c r="K3" s="1">
        <f>STDEV(E2:E4)</f>
        <v>23.6713610367747</v>
      </c>
    </row>
    <row r="4" spans="1:5">
      <c r="A4" t="s">
        <v>8</v>
      </c>
      <c r="B4">
        <v>0.81542408</v>
      </c>
      <c r="C4">
        <v>0.92635071</v>
      </c>
      <c r="D4">
        <v>0.39987749</v>
      </c>
      <c r="E4">
        <v>6626</v>
      </c>
    </row>
    <row r="5" spans="1:17">
      <c r="A5" t="s">
        <v>9</v>
      </c>
      <c r="B5">
        <v>0.31478754</v>
      </c>
      <c r="C5">
        <v>0.62538242</v>
      </c>
      <c r="D5">
        <v>0.4258379</v>
      </c>
      <c r="E5">
        <v>8825</v>
      </c>
      <c r="G5" t="s">
        <v>5</v>
      </c>
      <c r="H5" s="1">
        <f>AVERAGE(B5:B7)*100</f>
        <v>30.0332656666667</v>
      </c>
      <c r="I5" s="1">
        <f>AVERAGE(C5:C7)*100</f>
        <v>65.5968686666667</v>
      </c>
      <c r="J5" s="1">
        <f>AVERAGE(D5:D7)*100</f>
        <v>42.7638023333333</v>
      </c>
      <c r="K5" s="1">
        <f>AVERAGE(E5:E7)</f>
        <v>8814.66666666667</v>
      </c>
      <c r="M5" t="str">
        <f>LEFT(A5,LEN(A5)-3)</f>
        <v>smoothsav_r_recogn-ytvis</v>
      </c>
      <c r="N5" t="str">
        <f>TEXT(H5,"0.0")&amp;"±"&amp;TEXT(H6,"0.0")</f>
        <v>30.0±2.2</v>
      </c>
      <c r="O5" t="str">
        <f>TEXT(I5,"0.0")&amp;"±"&amp;TEXT(I6,"0.0")</f>
        <v>65.6±2.8</v>
      </c>
      <c r="P5" t="str">
        <f>TEXT(J5,"0.0")&amp;"±"&amp;TEXT(J6,"0.0")</f>
        <v>42.8±0.8</v>
      </c>
      <c r="Q5" t="str">
        <f>TEXT(K5,"0")&amp;"±"&amp;TEXT(K6,"0")</f>
        <v>8815±51</v>
      </c>
    </row>
    <row r="6" spans="1:11">
      <c r="A6" t="s">
        <v>10</v>
      </c>
      <c r="B6">
        <v>0.31072235</v>
      </c>
      <c r="C6">
        <v>0.66173816</v>
      </c>
      <c r="D6">
        <v>0.4211663</v>
      </c>
      <c r="E6">
        <v>8860</v>
      </c>
      <c r="G6" t="s">
        <v>7</v>
      </c>
      <c r="H6" s="1">
        <f>STDEV(B5:B7)*100</f>
        <v>2.16118297407562</v>
      </c>
      <c r="I6" s="1">
        <f>STDEV(C5:C7)*100</f>
        <v>2.8148532488372</v>
      </c>
      <c r="J6" s="1">
        <f>STDEV(D5:D7)*100</f>
        <v>0.75348223003355</v>
      </c>
      <c r="K6" s="1">
        <f>STDEV(E5:E7)</f>
        <v>51.2867754234299</v>
      </c>
    </row>
    <row r="7" spans="1:5">
      <c r="A7" t="s">
        <v>11</v>
      </c>
      <c r="B7">
        <v>0.27548808</v>
      </c>
      <c r="C7">
        <v>0.68078548</v>
      </c>
      <c r="D7">
        <v>0.43590987</v>
      </c>
      <c r="E7">
        <v>8759</v>
      </c>
    </row>
    <row r="8" spans="1:17">
      <c r="A8" t="s">
        <v>12</v>
      </c>
      <c r="B8">
        <v>0.80688071</v>
      </c>
      <c r="C8">
        <v>0.92553514</v>
      </c>
      <c r="D8">
        <v>0.38449532</v>
      </c>
      <c r="E8">
        <v>6540</v>
      </c>
      <c r="G8" t="s">
        <v>5</v>
      </c>
      <c r="H8" s="1">
        <f>AVERAGE(B8:B10)*100</f>
        <v>80.4641146666667</v>
      </c>
      <c r="I8" s="1">
        <f>AVERAGE(C8:C10)*100</f>
        <v>92.433846</v>
      </c>
      <c r="J8" s="1">
        <f>AVERAGE(D8:D10)*100</f>
        <v>38.259391</v>
      </c>
      <c r="K8" s="1">
        <f>AVERAGE(E8:E10)</f>
        <v>6538.33333333333</v>
      </c>
      <c r="M8" t="str">
        <f>LEFT(A8,LEN(A8)-3)</f>
        <v>spot_r_recogn-coco</v>
      </c>
      <c r="N8" t="str">
        <f>TEXT(H8,"0.0")&amp;"±"&amp;TEXT(H9,"0.0")</f>
        <v>80.5±0.2</v>
      </c>
      <c r="O8" t="str">
        <f>TEXT(I8,"0.0")&amp;"±"&amp;TEXT(I9,"0.0")</f>
        <v>92.4±0.2</v>
      </c>
      <c r="P8" t="str">
        <f>TEXT(J8,"0.0")&amp;"±"&amp;TEXT(J9,"0.0")</f>
        <v>38.3±0.2</v>
      </c>
      <c r="Q8" t="str">
        <f>TEXT(K8,"0")&amp;"±"&amp;TEXT(K9,"0")</f>
        <v>6538±23</v>
      </c>
    </row>
    <row r="9" spans="1:11">
      <c r="A9" t="s">
        <v>13</v>
      </c>
      <c r="B9">
        <v>0.80259144</v>
      </c>
      <c r="C9">
        <v>0.92591465</v>
      </c>
      <c r="D9">
        <v>0.38136783</v>
      </c>
      <c r="E9">
        <v>6560</v>
      </c>
      <c r="G9" t="s">
        <v>7</v>
      </c>
      <c r="H9" s="1">
        <f>STDEV(B8:B10)*100</f>
        <v>0.215092850848956</v>
      </c>
      <c r="I9" s="1">
        <f>STDEV(C8:C10)*100</f>
        <v>0.240886134671546</v>
      </c>
      <c r="J9" s="1">
        <f>STDEV(D8:D10)*100</f>
        <v>0.166953627744351</v>
      </c>
      <c r="K9" s="1">
        <f>STDEV(E8:E10)</f>
        <v>22.5462487641145</v>
      </c>
    </row>
    <row r="10" spans="1:5">
      <c r="A10" t="s">
        <v>14</v>
      </c>
      <c r="B10">
        <v>0.80445129</v>
      </c>
      <c r="C10">
        <v>0.92156559</v>
      </c>
      <c r="D10">
        <v>0.38191858</v>
      </c>
      <c r="E10">
        <v>6515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eval_multi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GeneralZ</cp:lastModifiedBy>
  <dcterms:created xsi:type="dcterms:W3CDTF">2026-01-06T18:51:02Z</dcterms:created>
  <dcterms:modified xsi:type="dcterms:W3CDTF">2026-01-06T18:59:52Z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